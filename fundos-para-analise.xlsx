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05e40ced85b24e/_Investimentos/app-analise-relatorios/"/>
    </mc:Choice>
  </mc:AlternateContent>
  <xr:revisionPtr revIDLastSave="7" documentId="8_{21696ABF-71A9-4095-905C-9B6E44F13D93}" xr6:coauthVersionLast="47" xr6:coauthVersionMax="47" xr10:uidLastSave="{4CBE9229-90C3-49A4-BDFD-D02F5FBA4CAD}"/>
  <bookViews>
    <workbookView xWindow="28680" yWindow="2505" windowWidth="21840" windowHeight="13020" xr2:uid="{120C63C4-502D-4CB6-ADAB-13736B2A05E1}"/>
  </bookViews>
  <sheets>
    <sheet name="Planilha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8" l="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</calcChain>
</file>

<file path=xl/sharedStrings.xml><?xml version="1.0" encoding="utf-8"?>
<sst xmlns="http://schemas.openxmlformats.org/spreadsheetml/2006/main" count="121" uniqueCount="53">
  <si>
    <t>Tipo</t>
  </si>
  <si>
    <t>Papel</t>
  </si>
  <si>
    <t>FIAGRO</t>
  </si>
  <si>
    <t>INFRA</t>
  </si>
  <si>
    <t>PAPEL</t>
  </si>
  <si>
    <t>TIJOLO</t>
  </si>
  <si>
    <t>URPR11</t>
  </si>
  <si>
    <t>BDIF11</t>
  </si>
  <si>
    <t>RBRR11</t>
  </si>
  <si>
    <t>IBCR11</t>
  </si>
  <si>
    <t>HGLG11</t>
  </si>
  <si>
    <t>GCRA11</t>
  </si>
  <si>
    <t>KNSC11</t>
  </si>
  <si>
    <t>KNCA11</t>
  </si>
  <si>
    <t>HSML11</t>
  </si>
  <si>
    <t>BTLG11</t>
  </si>
  <si>
    <t>FGAA11</t>
  </si>
  <si>
    <t>BIDB11</t>
  </si>
  <si>
    <t>JURO11</t>
  </si>
  <si>
    <t>RURA11</t>
  </si>
  <si>
    <t>CPTI11</t>
  </si>
  <si>
    <t>JGPX11</t>
  </si>
  <si>
    <t>RBRL11</t>
  </si>
  <si>
    <t>GCRI11</t>
  </si>
  <si>
    <t>IFRA11</t>
  </si>
  <si>
    <t>BTRA11</t>
  </si>
  <si>
    <t>HGRU11</t>
  </si>
  <si>
    <t>BRCR11</t>
  </si>
  <si>
    <t>ALZR11</t>
  </si>
  <si>
    <t>RBRP11</t>
  </si>
  <si>
    <t>TRXF11</t>
  </si>
  <si>
    <t>AFHI11</t>
  </si>
  <si>
    <t>KNCR11</t>
  </si>
  <si>
    <t>XPML11</t>
  </si>
  <si>
    <t>HGRE11</t>
  </si>
  <si>
    <t>COIN11</t>
  </si>
  <si>
    <t>SPYI11</t>
  </si>
  <si>
    <t>ETF</t>
  </si>
  <si>
    <t>ALUG11</t>
  </si>
  <si>
    <t>FYTO11</t>
  </si>
  <si>
    <t>BODB11</t>
  </si>
  <si>
    <t>PCIP11</t>
  </si>
  <si>
    <t>CDII11</t>
  </si>
  <si>
    <t>VENDA</t>
  </si>
  <si>
    <t>QQQI11</t>
  </si>
  <si>
    <t>WRLD11</t>
  </si>
  <si>
    <t>HGCR11</t>
  </si>
  <si>
    <t>Categoria</t>
  </si>
  <si>
    <t>etfs</t>
  </si>
  <si>
    <t>fiagros</t>
  </si>
  <si>
    <t>infras</t>
  </si>
  <si>
    <t>fundos-imobiliarios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</si>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</sst>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0" fontId="4" fillId="6" borderId="1" xfId="1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10" fontId="4" fillId="4" borderId="1" xfId="1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10" fontId="4" fillId="3" borderId="1" xfId="1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10" fontId="4" fillId="5" borderId="1" xfId="1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10" fontId="4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</cellXfs>
  <cellStyles count="3">
    <cellStyle name="Normal" xfId="0" builtinId="0"/>
    <cellStyle name="Normal 2" xfId="2" xr:uid="{3D7523DF-0D13-4171-8CA6-B9B9F49A5324}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367C-5BD1-47B9-B493-30013D239767}">
  <dimension ref="A1:D40"/>
  <sheetViews>
    <sheetView tabSelected="1" workbookViewId="0">
      <selection activeCell="F15" sqref="F15"/>
    </sheetView>
  </sheetViews>
  <sheetFormatPr defaultRowHeight="14.4" x14ac:dyDescent="0.3"/>
  <cols>
    <col min="2" max="2" width="9.33203125" bestFit="1" customWidth="1"/>
    <col min="3" max="3" width="18.21875" bestFit="1" customWidth="1"/>
    <col min="4" max="4" width="49.88671875" bestFit="1" customWidth="1"/>
  </cols>
  <sheetData>
    <row r="1" spans="1:4" ht="15.6" x14ac:dyDescent="0.3">
      <c r="A1" s="1" t="s">
        <v>0</v>
      </c>
      <c r="B1" s="1" t="s">
        <v>1</v>
      </c>
      <c r="C1" s="2" t="s">
        <v>47</v>
      </c>
      <c r="D1" s="2" t="s">
        <v>52</v>
      </c>
    </row>
    <row r="2" spans="1:4" x14ac:dyDescent="0.3">
      <c r="A2" s="4" t="s">
        <v>37</v>
      </c>
      <c r="B2" s="5" t="s">
        <v>35</v>
      </c>
      <c r="C2" s="3" t="s">
        <v>48</v>
      </c>
      <c r="D2" s="3" t="str">
        <f>"https://statusinvest.com.br/"&amp;C2&amp;"/"&amp;LOWER(B2)</f>
        <v>https://statusinvest.com.br/etfs/coin11</v>
      </c>
    </row>
    <row r="3" spans="1:4" x14ac:dyDescent="0.3">
      <c r="A3" s="4" t="s">
        <v>37</v>
      </c>
      <c r="B3" s="5" t="s">
        <v>44</v>
      </c>
      <c r="C3" s="3" t="s">
        <v>48</v>
      </c>
      <c r="D3" s="3" t="str">
        <f t="shared" ref="D3:D40" si="0">"https://statusinvest.com.br/"&amp;C3&amp;"/"&amp;LOWER(B3)</f>
        <v>https://statusinvest.com.br/etfs/qqqi11</v>
      </c>
    </row>
    <row r="4" spans="1:4" x14ac:dyDescent="0.3">
      <c r="A4" s="4" t="s">
        <v>37</v>
      </c>
      <c r="B4" s="5" t="s">
        <v>45</v>
      </c>
      <c r="C4" s="3" t="s">
        <v>48</v>
      </c>
      <c r="D4" s="3" t="str">
        <f t="shared" si="0"/>
        <v>https://statusinvest.com.br/etfs/wrld11</v>
      </c>
    </row>
    <row r="5" spans="1:4" x14ac:dyDescent="0.3">
      <c r="A5" s="4" t="s">
        <v>37</v>
      </c>
      <c r="B5" s="5" t="s">
        <v>36</v>
      </c>
      <c r="C5" s="3" t="s">
        <v>48</v>
      </c>
      <c r="D5" s="3" t="str">
        <f t="shared" si="0"/>
        <v>https://statusinvest.com.br/etfs/spyi11</v>
      </c>
    </row>
    <row r="6" spans="1:4" x14ac:dyDescent="0.3">
      <c r="A6" s="6" t="s">
        <v>2</v>
      </c>
      <c r="B6" s="7" t="s">
        <v>21</v>
      </c>
      <c r="C6" s="3" t="s">
        <v>49</v>
      </c>
      <c r="D6" s="3" t="str">
        <f t="shared" si="0"/>
        <v>https://statusinvest.com.br/fiagros/jgpx11</v>
      </c>
    </row>
    <row r="7" spans="1:4" x14ac:dyDescent="0.3">
      <c r="A7" s="6" t="s">
        <v>2</v>
      </c>
      <c r="B7" s="7" t="s">
        <v>16</v>
      </c>
      <c r="C7" s="3" t="s">
        <v>49</v>
      </c>
      <c r="D7" s="3" t="str">
        <f t="shared" si="0"/>
        <v>https://statusinvest.com.br/fiagros/fgaa11</v>
      </c>
    </row>
    <row r="8" spans="1:4" x14ac:dyDescent="0.3">
      <c r="A8" s="6" t="s">
        <v>2</v>
      </c>
      <c r="B8" s="7" t="s">
        <v>19</v>
      </c>
      <c r="C8" s="3" t="s">
        <v>49</v>
      </c>
      <c r="D8" s="3" t="str">
        <f t="shared" si="0"/>
        <v>https://statusinvest.com.br/fiagros/rura11</v>
      </c>
    </row>
    <row r="9" spans="1:4" x14ac:dyDescent="0.3">
      <c r="A9" s="6" t="s">
        <v>2</v>
      </c>
      <c r="B9" s="7" t="s">
        <v>13</v>
      </c>
      <c r="C9" s="3" t="s">
        <v>49</v>
      </c>
      <c r="D9" s="3" t="str">
        <f t="shared" si="0"/>
        <v>https://statusinvest.com.br/fiagros/knca11</v>
      </c>
    </row>
    <row r="10" spans="1:4" x14ac:dyDescent="0.3">
      <c r="A10" s="4" t="s">
        <v>3</v>
      </c>
      <c r="B10" s="5" t="s">
        <v>7</v>
      </c>
      <c r="C10" s="3" t="s">
        <v>50</v>
      </c>
      <c r="D10" s="3" t="str">
        <f t="shared" si="0"/>
        <v>https://statusinvest.com.br/infras/bdif11</v>
      </c>
    </row>
    <row r="11" spans="1:4" x14ac:dyDescent="0.3">
      <c r="A11" s="4" t="s">
        <v>3</v>
      </c>
      <c r="B11" s="5" t="s">
        <v>20</v>
      </c>
      <c r="C11" s="3" t="s">
        <v>50</v>
      </c>
      <c r="D11" s="3" t="str">
        <f t="shared" si="0"/>
        <v>https://statusinvest.com.br/infras/cpti11</v>
      </c>
    </row>
    <row r="12" spans="1:4" x14ac:dyDescent="0.3">
      <c r="A12" s="4" t="s">
        <v>3</v>
      </c>
      <c r="B12" s="5" t="s">
        <v>17</v>
      </c>
      <c r="C12" s="3" t="s">
        <v>50</v>
      </c>
      <c r="D12" s="3" t="str">
        <f t="shared" si="0"/>
        <v>https://statusinvest.com.br/infras/bidb11</v>
      </c>
    </row>
    <row r="13" spans="1:4" x14ac:dyDescent="0.3">
      <c r="A13" s="4" t="s">
        <v>3</v>
      </c>
      <c r="B13" s="5" t="s">
        <v>24</v>
      </c>
      <c r="C13" s="3" t="s">
        <v>50</v>
      </c>
      <c r="D13" s="3" t="str">
        <f t="shared" si="0"/>
        <v>https://statusinvest.com.br/infras/ifra11</v>
      </c>
    </row>
    <row r="14" spans="1:4" x14ac:dyDescent="0.3">
      <c r="A14" s="4" t="s">
        <v>3</v>
      </c>
      <c r="B14" s="5" t="s">
        <v>42</v>
      </c>
      <c r="C14" s="3" t="s">
        <v>50</v>
      </c>
      <c r="D14" s="3" t="str">
        <f t="shared" si="0"/>
        <v>https://statusinvest.com.br/infras/cdii11</v>
      </c>
    </row>
    <row r="15" spans="1:4" x14ac:dyDescent="0.3">
      <c r="A15" s="4" t="s">
        <v>3</v>
      </c>
      <c r="B15" s="5" t="s">
        <v>18</v>
      </c>
      <c r="C15" s="3" t="s">
        <v>50</v>
      </c>
      <c r="D15" s="3" t="str">
        <f t="shared" si="0"/>
        <v>https://statusinvest.com.br/infras/juro11</v>
      </c>
    </row>
    <row r="16" spans="1:4" x14ac:dyDescent="0.3">
      <c r="A16" s="8" t="s">
        <v>4</v>
      </c>
      <c r="B16" s="9" t="s">
        <v>41</v>
      </c>
      <c r="C16" s="3" t="s">
        <v>51</v>
      </c>
      <c r="D16" s="3" t="str">
        <f t="shared" si="0"/>
        <v>https://statusinvest.com.br/fundos-imobiliarios/pcip11</v>
      </c>
    </row>
    <row r="17" spans="1:4" x14ac:dyDescent="0.3">
      <c r="A17" s="8" t="s">
        <v>4</v>
      </c>
      <c r="B17" s="9" t="s">
        <v>12</v>
      </c>
      <c r="C17" s="3" t="s">
        <v>51</v>
      </c>
      <c r="D17" s="3" t="str">
        <f t="shared" si="0"/>
        <v>https://statusinvest.com.br/fundos-imobiliarios/knsc11</v>
      </c>
    </row>
    <row r="18" spans="1:4" x14ac:dyDescent="0.3">
      <c r="A18" s="8" t="s">
        <v>4</v>
      </c>
      <c r="B18" s="9" t="s">
        <v>31</v>
      </c>
      <c r="C18" s="3" t="s">
        <v>51</v>
      </c>
      <c r="D18" s="3" t="str">
        <f t="shared" si="0"/>
        <v>https://statusinvest.com.br/fundos-imobiliarios/afhi11</v>
      </c>
    </row>
    <row r="19" spans="1:4" x14ac:dyDescent="0.3">
      <c r="A19" s="8" t="s">
        <v>4</v>
      </c>
      <c r="B19" s="9" t="s">
        <v>46</v>
      </c>
      <c r="C19" s="3" t="s">
        <v>51</v>
      </c>
      <c r="D19" s="3" t="str">
        <f t="shared" si="0"/>
        <v>https://statusinvest.com.br/fundos-imobiliarios/hgcr11</v>
      </c>
    </row>
    <row r="20" spans="1:4" x14ac:dyDescent="0.3">
      <c r="A20" s="8" t="s">
        <v>4</v>
      </c>
      <c r="B20" s="9" t="s">
        <v>32</v>
      </c>
      <c r="C20" s="3" t="s">
        <v>51</v>
      </c>
      <c r="D20" s="3" t="str">
        <f t="shared" si="0"/>
        <v>https://statusinvest.com.br/fundos-imobiliarios/kncr11</v>
      </c>
    </row>
    <row r="21" spans="1:4" x14ac:dyDescent="0.3">
      <c r="A21" s="10" t="s">
        <v>5</v>
      </c>
      <c r="B21" s="11" t="s">
        <v>30</v>
      </c>
      <c r="C21" s="3" t="s">
        <v>51</v>
      </c>
      <c r="D21" s="3" t="str">
        <f t="shared" si="0"/>
        <v>https://statusinvest.com.br/fundos-imobiliarios/trxf11</v>
      </c>
    </row>
    <row r="22" spans="1:4" x14ac:dyDescent="0.3">
      <c r="A22" s="10" t="s">
        <v>5</v>
      </c>
      <c r="B22" s="11" t="s">
        <v>28</v>
      </c>
      <c r="C22" s="3" t="s">
        <v>51</v>
      </c>
      <c r="D22" s="3" t="str">
        <f t="shared" si="0"/>
        <v>https://statusinvest.com.br/fundos-imobiliarios/alzr11</v>
      </c>
    </row>
    <row r="23" spans="1:4" x14ac:dyDescent="0.3">
      <c r="A23" s="10" t="s">
        <v>5</v>
      </c>
      <c r="B23" s="11" t="s">
        <v>10</v>
      </c>
      <c r="C23" s="3" t="s">
        <v>51</v>
      </c>
      <c r="D23" s="3" t="str">
        <f t="shared" si="0"/>
        <v>https://statusinvest.com.br/fundos-imobiliarios/hglg11</v>
      </c>
    </row>
    <row r="24" spans="1:4" x14ac:dyDescent="0.3">
      <c r="A24" s="10" t="s">
        <v>5</v>
      </c>
      <c r="B24" s="11" t="s">
        <v>26</v>
      </c>
      <c r="C24" s="3" t="s">
        <v>51</v>
      </c>
      <c r="D24" s="3" t="str">
        <f t="shared" si="0"/>
        <v>https://statusinvest.com.br/fundos-imobiliarios/hgru11</v>
      </c>
    </row>
    <row r="25" spans="1:4" x14ac:dyDescent="0.3">
      <c r="A25" s="10" t="s">
        <v>5</v>
      </c>
      <c r="B25" s="11" t="s">
        <v>15</v>
      </c>
      <c r="C25" s="3" t="s">
        <v>51</v>
      </c>
      <c r="D25" s="3" t="str">
        <f t="shared" si="0"/>
        <v>https://statusinvest.com.br/fundos-imobiliarios/btlg11</v>
      </c>
    </row>
    <row r="26" spans="1:4" x14ac:dyDescent="0.3">
      <c r="A26" s="10" t="s">
        <v>5</v>
      </c>
      <c r="B26" s="11" t="s">
        <v>14</v>
      </c>
      <c r="C26" s="3" t="s">
        <v>51</v>
      </c>
      <c r="D26" s="3" t="str">
        <f t="shared" si="0"/>
        <v>https://statusinvest.com.br/fundos-imobiliarios/hsml11</v>
      </c>
    </row>
    <row r="27" spans="1:4" x14ac:dyDescent="0.3">
      <c r="A27" s="10" t="s">
        <v>5</v>
      </c>
      <c r="B27" s="11" t="s">
        <v>33</v>
      </c>
      <c r="C27" s="3" t="s">
        <v>51</v>
      </c>
      <c r="D27" s="3" t="str">
        <f t="shared" si="0"/>
        <v>https://statusinvest.com.br/fundos-imobiliarios/xpml11</v>
      </c>
    </row>
    <row r="28" spans="1:4" x14ac:dyDescent="0.3">
      <c r="A28" s="12" t="s">
        <v>43</v>
      </c>
      <c r="B28" s="13" t="s">
        <v>6</v>
      </c>
      <c r="C28" s="3" t="s">
        <v>51</v>
      </c>
      <c r="D28" s="3" t="str">
        <f t="shared" si="0"/>
        <v>https://statusinvest.com.br/fundos-imobiliarios/urpr11</v>
      </c>
    </row>
    <row r="29" spans="1:4" x14ac:dyDescent="0.3">
      <c r="A29" s="12" t="s">
        <v>43</v>
      </c>
      <c r="B29" s="13" t="s">
        <v>11</v>
      </c>
      <c r="C29" s="3" t="s">
        <v>51</v>
      </c>
      <c r="D29" s="3" t="str">
        <f t="shared" si="0"/>
        <v>https://statusinvest.com.br/fundos-imobiliarios/gcra11</v>
      </c>
    </row>
    <row r="30" spans="1:4" x14ac:dyDescent="0.3">
      <c r="A30" s="12" t="s">
        <v>43</v>
      </c>
      <c r="B30" s="13" t="s">
        <v>9</v>
      </c>
      <c r="C30" s="3" t="s">
        <v>51</v>
      </c>
      <c r="D30" s="3" t="str">
        <f t="shared" si="0"/>
        <v>https://statusinvest.com.br/fundos-imobiliarios/ibcr11</v>
      </c>
    </row>
    <row r="31" spans="1:4" x14ac:dyDescent="0.3">
      <c r="A31" s="12" t="s">
        <v>43</v>
      </c>
      <c r="B31" s="13" t="s">
        <v>29</v>
      </c>
      <c r="C31" s="3" t="s">
        <v>51</v>
      </c>
      <c r="D31" s="3" t="str">
        <f t="shared" si="0"/>
        <v>https://statusinvest.com.br/fundos-imobiliarios/rbrp11</v>
      </c>
    </row>
    <row r="32" spans="1:4" x14ac:dyDescent="0.3">
      <c r="A32" s="12" t="s">
        <v>43</v>
      </c>
      <c r="B32" s="13" t="s">
        <v>27</v>
      </c>
      <c r="C32" s="3" t="s">
        <v>51</v>
      </c>
      <c r="D32" s="3" t="str">
        <f t="shared" si="0"/>
        <v>https://statusinvest.com.br/fundos-imobiliarios/brcr11</v>
      </c>
    </row>
    <row r="33" spans="1:4" x14ac:dyDescent="0.3">
      <c r="A33" s="12" t="s">
        <v>43</v>
      </c>
      <c r="B33" s="13" t="s">
        <v>25</v>
      </c>
      <c r="C33" s="3" t="s">
        <v>51</v>
      </c>
      <c r="D33" s="3" t="str">
        <f t="shared" si="0"/>
        <v>https://statusinvest.com.br/fundos-imobiliarios/btra11</v>
      </c>
    </row>
    <row r="34" spans="1:4" x14ac:dyDescent="0.3">
      <c r="A34" s="12" t="s">
        <v>43</v>
      </c>
      <c r="B34" s="13" t="s">
        <v>39</v>
      </c>
      <c r="C34" s="3" t="s">
        <v>51</v>
      </c>
      <c r="D34" s="3" t="str">
        <f t="shared" si="0"/>
        <v>https://statusinvest.com.br/fundos-imobiliarios/fyto11</v>
      </c>
    </row>
    <row r="35" spans="1:4" x14ac:dyDescent="0.3">
      <c r="A35" s="8" t="s">
        <v>43</v>
      </c>
      <c r="B35" s="9" t="s">
        <v>8</v>
      </c>
      <c r="C35" s="3" t="s">
        <v>51</v>
      </c>
      <c r="D35" s="3" t="str">
        <f t="shared" si="0"/>
        <v>https://statusinvest.com.br/fundos-imobiliarios/rbrr11</v>
      </c>
    </row>
    <row r="36" spans="1:4" x14ac:dyDescent="0.3">
      <c r="A36" s="12" t="s">
        <v>43</v>
      </c>
      <c r="B36" s="13" t="s">
        <v>23</v>
      </c>
      <c r="C36" s="3" t="s">
        <v>51</v>
      </c>
      <c r="D36" s="3" t="str">
        <f t="shared" si="0"/>
        <v>https://statusinvest.com.br/fundos-imobiliarios/gcri11</v>
      </c>
    </row>
    <row r="37" spans="1:4" x14ac:dyDescent="0.3">
      <c r="A37" s="12" t="s">
        <v>43</v>
      </c>
      <c r="B37" s="13" t="s">
        <v>38</v>
      </c>
      <c r="C37" s="3" t="s">
        <v>51</v>
      </c>
      <c r="D37" s="3" t="str">
        <f t="shared" si="0"/>
        <v>https://statusinvest.com.br/fundos-imobiliarios/alug11</v>
      </c>
    </row>
    <row r="38" spans="1:4" x14ac:dyDescent="0.3">
      <c r="A38" s="12" t="s">
        <v>43</v>
      </c>
      <c r="B38" s="13" t="s">
        <v>22</v>
      </c>
      <c r="C38" s="3" t="s">
        <v>51</v>
      </c>
      <c r="D38" s="3" t="str">
        <f t="shared" si="0"/>
        <v>https://statusinvest.com.br/fundos-imobiliarios/rbrl11</v>
      </c>
    </row>
    <row r="39" spans="1:4" x14ac:dyDescent="0.3">
      <c r="A39" s="12" t="s">
        <v>43</v>
      </c>
      <c r="B39" s="13" t="s">
        <v>34</v>
      </c>
      <c r="C39" s="3" t="s">
        <v>51</v>
      </c>
      <c r="D39" s="3" t="str">
        <f t="shared" si="0"/>
        <v>https://statusinvest.com.br/fundos-imobiliarios/hgre11</v>
      </c>
    </row>
    <row r="40" spans="1:4" x14ac:dyDescent="0.3">
      <c r="A40" s="12" t="s">
        <v>43</v>
      </c>
      <c r="B40" s="13" t="s">
        <v>40</v>
      </c>
      <c r="C40" s="3" t="s">
        <v>50</v>
      </c>
      <c r="D40" s="3" t="str">
        <f t="shared" si="0"/>
        <v>https://statusinvest.com.br/infras/bodb11</v>
      </c>
    </row>
  </sheetData>
  <conditionalFormatting sqref="A2:A33">
    <cfRule type="cellIs" dxfId="1" priority="1" operator="lessThan">
      <formula>0</formula>
    </cfRule>
    <cfRule type="cellIs" dxfId="0" priority="2" operator="lessThan">
      <formula>-0.33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47E86-B8A1-4718-8A10-BF49E3599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Emerson Bilieri</dc:creator>
  <cp:keywords/>
  <dc:description/>
  <cp:lastModifiedBy>Emerson Bilieri</cp:lastModifiedBy>
  <cp:revision/>
  <dcterms:created xsi:type="dcterms:W3CDTF">2021-11-10T22:36:32Z</dcterms:created>
  <dcterms:modified xsi:type="dcterms:W3CDTF">2026-08-07T23:32:43Z</dcterms:modified>
  <cp:category/>
  <cp:contentStatus/>
</cp:coreProperties>
</file>